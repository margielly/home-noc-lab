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ert Log" sheetId="2" state="visible" r:id="rId4"/>
    <sheet name="Incident Records" sheetId="3" state="visible" r:id="rId5"/>
    <sheet name="Tuning History" sheetId="4" state="visible" r:id="rId6"/>
    <sheet name="Shift Handoff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<sst xmlns="http://schemas.openxmlformats.org/spreadsheetml/2006/main" count="237" uniqueCount="164">
  <si>
    <t xml:space="preserve">Home NOC Lab - Incident Summary</t>
  </si>
  <si>
    <t xml:space="preserve">Four exercises on a virtual monitoring lab (Zabbix, Docker). Home lab practice, not production. Alert counts and times are calculated from the Alert Log tab.</t>
  </si>
  <si>
    <t xml:space="preserve">Incident</t>
  </si>
  <si>
    <t xml:space="preserve">Exercise</t>
  </si>
  <si>
    <t xml:space="preserve">Date</t>
  </si>
  <si>
    <t xml:space="preserve">First alert</t>
  </si>
  <si>
    <t xml:space="preserve">Highest severity</t>
  </si>
  <si>
    <t xml:space="preserve">Alerts fired</t>
  </si>
  <si>
    <t xml:space="preserve">Total time in alert (min:sec)</t>
  </si>
  <si>
    <t xml:space="preserve">Type</t>
  </si>
  <si>
    <t xml:space="preserve">Outcome</t>
  </si>
  <si>
    <t xml:space="preserve">Key lesson</t>
  </si>
  <si>
    <t xml:space="preserve">INC-001</t>
  </si>
  <si>
    <t xml:space="preserve">1: Service down</t>
  </si>
  <si>
    <t xml:space="preserve">High</t>
  </si>
  <si>
    <t xml:space="preserve">Real outage (induced)</t>
  </si>
  <si>
    <t xml:space="preserve">Alert fired and cleared as expected; monitoring confirmed working.</t>
  </si>
  <si>
    <t xml:space="preserve">A healthy baseline (both checks at 1) makes an incident easy to recognize.</t>
  </si>
  <si>
    <t xml:space="preserve">INC-002</t>
  </si>
  <si>
    <t xml:space="preserve">2: Monitoring agent unavailable</t>
  </si>
  <si>
    <t xml:space="preserve">Average</t>
  </si>
  <si>
    <t xml:space="preserve">Monitoring gap</t>
  </si>
  <si>
    <t xml:space="preserve">Agent restarted; alert cleared. No monitored service was down.</t>
  </si>
  <si>
    <t xml:space="preserve">Tell a real outage from a monitoring gap; monitoring can lose sight of a healthy system.</t>
  </si>
  <si>
    <t xml:space="preserve">INC-003</t>
  </si>
  <si>
    <t xml:space="preserve">3: Flapping service and trigger tuning</t>
  </si>
  <si>
    <t xml:space="preserve">Alert noise</t>
  </si>
  <si>
    <t xml:space="preserve">Three alerts in about 7 minutes cut to zero for 30-second blips, with real outages still caught.</t>
  </si>
  <si>
    <t xml:space="preserve">A trigger has several conditions, and tuning one does not tune the others. Test the result.</t>
  </si>
  <si>
    <t xml:space="preserve">INC-004</t>
  </si>
  <si>
    <t xml:space="preserve">4: Two problems at once</t>
  </si>
  <si>
    <t xml:space="preserve">Real outage + monitoring gap</t>
  </si>
  <si>
    <t xml:space="preserve">web-target (High) worked first, agent (Average) second; both resolved.</t>
  </si>
  <si>
    <t xml:space="preserve">Alerts have different detection delays, so a quiet screen is not proof that all is healthy.</t>
  </si>
  <si>
    <t xml:space="preserve">Total</t>
  </si>
  <si>
    <t xml:space="preserve">Tabs in this workbook</t>
  </si>
  <si>
    <t xml:space="preserve">Summary: this page.   Alert Log: every alert with start, recovery and calculated durations.</t>
  </si>
  <si>
    <t xml:space="preserve">Incident Records: the full write-up for each incident.   Tuning History: the three versions of the web-target trigger.</t>
  </si>
  <si>
    <t xml:space="preserve">Shift Handoff: example handoff note.</t>
  </si>
  <si>
    <t xml:space="preserve">Alert Log - every alert from Exercises 1 to 4</t>
  </si>
  <si>
    <t xml:space="preserve">Home NOC Lab (Zabbix 7.0), all on 10/26/2026. Times come from Monitoring &gt; Problems or from the user's own notes. Blue text = recorded input; black = formula.</t>
  </si>
  <si>
    <t xml:space="preserve">Phase / trigger version</t>
  </si>
  <si>
    <t xml:space="preserve">Problem</t>
  </si>
  <si>
    <t xml:space="preserve">Host</t>
  </si>
  <si>
    <t xml:space="preserve">Severity</t>
  </si>
  <si>
    <t xml:space="preserve">Started</t>
  </si>
  <si>
    <t xml:space="preserve">Recovered</t>
  </si>
  <si>
    <t xml:space="preserve">Duration (min:sec)</t>
  </si>
  <si>
    <t xml:space="preserve">Containers stopped at</t>
  </si>
  <si>
    <t xml:space="preserve">Detection delay after stop (min:sec)</t>
  </si>
  <si>
    <t xml:space="preserve">Time precision</t>
  </si>
  <si>
    <t xml:space="preserve">Notes</t>
  </si>
  <si>
    <t xml:space="preserve">Original trigger</t>
  </si>
  <si>
    <t xml:space="preserve">web-target: HTTP service down</t>
  </si>
  <si>
    <t xml:space="preserve">web-target</t>
  </si>
  <si>
    <t xml:space="preserve">Minute</t>
  </si>
  <si>
    <t xml:space="preserve">First alert cycle. web-target stopped, then restarted with docker compose start.</t>
  </si>
  <si>
    <t xml:space="preserve">Built-in agent alert</t>
  </si>
  <si>
    <t xml:space="preserve">Linux: Zabbix agent is not available (for 3m)</t>
  </si>
  <si>
    <t xml:space="preserve">Zabbix server</t>
  </si>
  <si>
    <t xml:space="preserve">Start to the second; recovery to the minute</t>
  </si>
  <si>
    <t xml:space="preserve">Monitoring gap, not a service outage. Alert has a built-in 3-minute delay.</t>
  </si>
  <si>
    <t xml:space="preserve">Original trigger (1m no-data)</t>
  </si>
  <si>
    <t xml:space="preserve">Second</t>
  </si>
  <si>
    <t xml:space="preserve">Flapping test, alert 1 of 3.</t>
  </si>
  <si>
    <t xml:space="preserve">Flapping test, alert 2 of 3. Fired 63 s after alert 1 cleared.</t>
  </si>
  <si>
    <t xml:space="preserve">Flapping test, alert 3 of 3. Fired 35 s after alert 2 cleared.</t>
  </si>
  <si>
    <t xml:space="preserve">Tuning pass 1 (3m no-data)</t>
  </si>
  <si>
    <t xml:space="preserve">About 3-minute stop; alert fired about 3 minutes after the stop (no-data window worked).</t>
  </si>
  <si>
    <t xml:space="preserve">About 30-second stop still alerted: the last()=0 condition fired on one failed check.</t>
  </si>
  <si>
    <t xml:space="preserve">Second 30-second stop also alerted, same cause.</t>
  </si>
  <si>
    <t xml:space="preserve">Tuning pass 2 (4 failed checks)</t>
  </si>
  <si>
    <t xml:space="preserve">2-minute stop; alert fired at 3:33 PM and cleared when restarted at about 3:34 PM. The two 30-second stops before it produced no alerts.</t>
  </si>
  <si>
    <t xml:space="preserve">Real outage. Restored first.</t>
  </si>
  <si>
    <t xml:space="preserve">Monitoring gap. Restored second.</t>
  </si>
  <si>
    <t xml:space="preserve">Detection delay is only calculated where the stop time was recorded (INC-004). For the others, the exact stop time was not noted.</t>
  </si>
  <si>
    <t xml:space="preserve">Where precision is 'Minute', the user recorded the time to the minute only, so durations for those rows are approximate.</t>
  </si>
  <si>
    <t xml:space="preserve">Incident Records</t>
  </si>
  <si>
    <t xml:space="preserve">Items in [brackets] are for you to complete with what you actually did and saw.</t>
  </si>
  <si>
    <t xml:space="preserve">Field</t>
  </si>
  <si>
    <t xml:space="preserve">Title</t>
  </si>
  <si>
    <t xml:space="preserve">Zabbix server: monitoring agent not available</t>
  </si>
  <si>
    <t xml:space="preserve">web-target: repeated HTTP service down alerts (flapping) and trigger tuning</t>
  </si>
  <si>
    <t xml:space="preserve">Concurrent alerts: web-target HTTP down and Zabbix agent unavailable</t>
  </si>
  <si>
    <t xml:space="preserve">Detected</t>
  </si>
  <si>
    <t xml:space="preserve">1:47 PM, Zabbix alert 'web-target: HTTP service down'</t>
  </si>
  <si>
    <t xml:space="preserve">2:08 PM (first seen 2:08:26 PM), alert 'Linux: Zabbix agent is not available (for 3m)'</t>
  </si>
  <si>
    <t xml:space="preserve">2:52:21 PM, first of three alerts</t>
  </si>
  <si>
    <t xml:space="preserve">3:42:05 PM (web-target, High); 3:44:26 PM (agent, Average)</t>
  </si>
  <si>
    <t xml:space="preserve">Severity / impact</t>
  </si>
  <si>
    <t xml:space="preserve">High. Test web service unavailable (lab); no real users affected.</t>
  </si>
  <si>
    <t xml:space="preserve">Average. Monitoring was blind on the Zabbix server host. No monitored service was actually down.</t>
  </si>
  <si>
    <t xml:space="preserve">High per alert. Intermittent unavailability of the test web service (lab).</t>
  </si>
  <si>
    <t xml:space="preserve">High: web-target HTTP service unavailable (real outage). Average: monitoring lost contact with the agent (monitoring gap).</t>
  </si>
  <si>
    <t xml:space="preserve">Affected service</t>
  </si>
  <si>
    <t xml:space="preserve">web-target (nginx container), HTTP on port 80</t>
  </si>
  <si>
    <t xml:space="preserve">zabbix-agent container (agent for the Zabbix server host)</t>
  </si>
  <si>
    <t xml:space="preserve">web-target and zabbix-agent containers</t>
  </si>
  <si>
    <t xml:space="preserve">Summary</t>
  </si>
  <si>
    <t xml:space="preserve">Zabbix detected the HTTP check failing and raised a High problem.</t>
  </si>
  <si>
    <t xml:space="preserve">Zabbix stopped receiving data from the agent and raised an alert after about 3 minutes.</t>
  </si>
  <si>
    <t xml:space="preserve">Three High alerts fired in about 7 minutes (2:52 to 2:59 PM): about 5m 17s of downtime and about 1m 38s of uptime between alerts.</t>
  </si>
  <si>
    <t xml:space="preserve">Both containers were stopped at 3:41:00 PM. The alerts arrived at different times because their triggers have different detection delays (about 1 minute vs about 3 minutes).</t>
  </si>
  <si>
    <t xml:space="preserve">Actions taken</t>
  </si>
  <si>
    <t xml:space="preserve">Restarted web-target with 'docker compose start web-target'. [Add what you checked first, e.g. Latest data, docker compose ps.]</t>
  </si>
  <si>
    <t xml:space="preserve">Restarted the agent with 'docker compose start zabbix-agent'. [Add the checks you did, e.g. confirmed the web server and database were healthy.]</t>
  </si>
  <si>
    <t xml:space="preserve">Tuned the trigger in two passes (see Tuning History): lengthened the no-data window from 1 to 3 minutes, then replaced last()=0 with a check that 4 consecutive checks failed. [Add anything else you did.]</t>
  </si>
  <si>
    <t xml:space="preserve">Worked web-target first (real outage, higher severity), then the agent. Restarted web-target (recovered 3:50:46 PM), then the agent (recovered 3:52:26 PM). [Add any checks you made first.]</t>
  </si>
  <si>
    <t xml:space="preserve">Escalation</t>
  </si>
  <si>
    <t xml:space="preserve">None needed (lab). [In production: who you would notify, and when.]</t>
  </si>
  <si>
    <t xml:space="preserve">None needed (lab). [In production: who you would notify, e.g. the monitoring team.]</t>
  </si>
  <si>
    <t xml:space="preserve">None needed (lab). In production, propose the tuning change to the monitoring owner.</t>
  </si>
  <si>
    <t xml:space="preserve">None needed (lab). In production: log both, notify the service owner or on-call for the High outage, and tell the monitoring owner if the agent does not recover quickly.</t>
  </si>
  <si>
    <t xml:space="preserve">Resolution</t>
  </si>
  <si>
    <t xml:space="preserve">Problem resolved at 1:49 PM (about 2 minutes, times to the minute).</t>
  </si>
  <si>
    <t xml:space="preserve">Problem resolved at 2:12 PM (about 4 minutes after the alert).</t>
  </si>
  <si>
    <t xml:space="preserve">Final trigger: two 30-second stops produced no alerts; a 2-minute stop alerted at 3:33 PM and cleared when restarted at about 3:34 PM.</t>
  </si>
  <si>
    <t xml:space="preserve">Both problems resolved: web-target 3:50:46 PM, agent 3:52:26 PM.</t>
  </si>
  <si>
    <t xml:space="preserve">Root cause</t>
  </si>
  <si>
    <t xml:space="preserve">The container was stopped on purpose as a test.</t>
  </si>
  <si>
    <t xml:space="preserve">The agent container was stopped on purpose as a test. [Add the exact stop time, about 3 minutes before the alert.]</t>
  </si>
  <si>
    <t xml:space="preserve">Containers were stopped and started repeatedly on purpose. The original trigger fired on a single failed check or 1 minute of no data and cleared as soon as data returned, so each brief outage opened a new alert.</t>
  </si>
  <si>
    <t xml:space="preserve">Both containers were stopped on purpose as a test.</t>
  </si>
  <si>
    <t xml:space="preserve">Related alerts?</t>
  </si>
  <si>
    <t xml:space="preserve">n/a</t>
  </si>
  <si>
    <t xml:space="preserve">Independent in this lab, since they were stopped separately. In production, check for a shared cause (same host or network) before assuming.</t>
  </si>
  <si>
    <t xml:space="preserve">Lessons / follow-up</t>
  </si>
  <si>
    <t xml:space="preserve">Tell a real outage from a monitoring gap. The gap is that monitoring lost contact; the 3-minute delay is why the alert came late.</t>
  </si>
  <si>
    <t xml:space="preserve">Tradeoff: fewer pages for short blips, but up to about a minute more detection delay and outages under about a minute are no longer reported. Consider recovery conditions that require several good checks.</t>
  </si>
  <si>
    <t xml:space="preserve">Alerts have detection delays, and a quiet screen is not proof that everything is healthy. Alerts can arrive in a different order than the problems occurred.</t>
  </si>
  <si>
    <t xml:space="preserve">Tuning History - trigger 'web-target: HTTP service down' (INC-003)</t>
  </si>
  <si>
    <t xml:space="preserve">Version</t>
  </si>
  <si>
    <t xml:space="preserve">Trigger expression</t>
  </si>
  <si>
    <t xml:space="preserve">What changed</t>
  </si>
  <si>
    <t xml:space="preserve">Test</t>
  </si>
  <si>
    <t xml:space="preserve">Result</t>
  </si>
  <si>
    <t xml:space="preserve">v1 (original)</t>
  </si>
  <si>
    <t xml:space="preserve">last(/web-target/net.tcp.service[http,,80])=0 or nodata(/web-target/net.tcp.service[http,,80],1m)=1</t>
  </si>
  <si>
    <t xml:space="preserve">Starting point.</t>
  </si>
  <si>
    <t xml:space="preserve">Repeated stop and start of web-target.</t>
  </si>
  <si>
    <t xml:space="preserve">Three separate High alerts in about 7 minutes (2:52 to 2:59 PM): flapping.</t>
  </si>
  <si>
    <t xml:space="preserve">v2</t>
  </si>
  <si>
    <t xml:space="preserve">last(/web-target/net.tcp.service[http,,80])=0 or nodata(/web-target/net.tcp.service[http,,80],3m)=1</t>
  </si>
  <si>
    <t xml:space="preserve">Lengthened the no-data window from 1 minute to 3 minutes.</t>
  </si>
  <si>
    <t xml:space="preserve">One 3-minute stop, then two stops of about 30 seconds.</t>
  </si>
  <si>
    <t xml:space="preserve">Long outage alerted after about 3 minutes (as intended). The 30-second stops still alerted (27 s and 29 s problems) because last()=0 fires on a single failed check.</t>
  </si>
  <si>
    <t xml:space="preserve">v3 (final)</t>
  </si>
  <si>
    <t xml:space="preserve">max(/web-target/net.tcp.service[http,,80],#4)=0 or nodata(/web-target/net.tcp.service[http,,80],3m)=1</t>
  </si>
  <si>
    <t xml:space="preserve">Replaced last()=0 with max() over the last 4 checks, so all 4 must fail (about a minute at 15-second checks).</t>
  </si>
  <si>
    <t xml:space="preserve">Two stops of about 30 seconds (3:29 to 3:31 PM), then a 2-minute stop.</t>
  </si>
  <si>
    <t xml:space="preserve">30-second stops: no alerts. 2-minute stop: alert at 3:33 PM; restarted about 3:34 PM.</t>
  </si>
  <si>
    <t xml:space="preserve">Note: min() over the last 4 values is 0 if ANY value is 0, so it would still alert on one failure. max() is 0 only if ALL 4 values are 0, which is what makes the trigger require 4 failures in a row.</t>
  </si>
  <si>
    <t xml:space="preserve">Shift Handoff Note (example)</t>
  </si>
  <si>
    <t xml:space="preserve">Section</t>
  </si>
  <si>
    <t xml:space="preserve">Entry</t>
  </si>
  <si>
    <t xml:space="preserve">Date, shift, author</t>
  </si>
  <si>
    <t xml:space="preserve">10/26/2026, afternoon, [your name]</t>
  </si>
  <si>
    <t xml:space="preserve">Open incidents</t>
  </si>
  <si>
    <t xml:space="preserve">None. INC-001 to INC-004 all resolved.</t>
  </si>
  <si>
    <t xml:space="preserve">Things to watch</t>
  </si>
  <si>
    <t xml:space="preserve">web-target trigger was tuned (requires 4 failed checks or 3 minutes of no data). Short blips under about a minute will no longer alert.</t>
  </si>
  <si>
    <t xml:space="preserve">Planned changes</t>
  </si>
  <si>
    <t xml:space="preserve">None.</t>
  </si>
  <si>
    <t xml:space="preserve">Agent alert has a built-in 3-minute delay, so allow for it when judging monitoring gaps.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</si>
</sst>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h:mm:ss\ AM/PM"/>
    <numFmt numFmtId="167" formatCode="[m]:ss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FFFFFF"/>
        <sz val="10"/>
      </font>
      <fill>
        <patternFill>
          <bgColor rgb="FFED7D31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22"/>
    <col collapsed="false" customWidth="true" hidden="false" outlineLevel="0" max="9" min="9" style="0" width="46"/>
    <col collapsed="false" customWidth="true" hidden="false" outlineLevel="0" max="10" min="10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3.85" hidden="false" customHeight="false" outlineLevel="0" collapsed="false">
      <c r="A5" s="4" t="s">
        <v>12</v>
      </c>
      <c r="B5" s="4" t="s">
        <v>13</v>
      </c>
      <c r="C5" s="5" t="n">
        <v>46321</v>
      </c>
      <c r="D5" s="6" t="n">
        <f aca="false">INDEX('Alert Log'!$F$5:$F$15,MATCH(A5,'Alert Log'!$A$5:$A$15,0))</f>
        <v>46321.5743055556</v>
      </c>
      <c r="E5" s="4" t="s">
        <v>14</v>
      </c>
      <c r="F5" s="4" t="n">
        <f aca="false">COUNTIF('Alert Log'!$A$5:$A$15,A5)</f>
        <v>1</v>
      </c>
      <c r="G5" s="7" t="n">
        <f aca="false">SUMIF('Alert Log'!$A$5:$A$15,A5,'Alert Log'!$H$5:$H$15)</f>
        <v>0.00138888888888889</v>
      </c>
      <c r="H5" s="4" t="s">
        <v>15</v>
      </c>
      <c r="I5" s="4" t="s">
        <v>16</v>
      </c>
      <c r="J5" s="4" t="s">
        <v>17</v>
      </c>
    </row>
    <row r="6" customFormat="false" ht="23.85" hidden="false" customHeight="false" outlineLevel="0" collapsed="false">
      <c r="A6" s="4" t="s">
        <v>18</v>
      </c>
      <c r="B6" s="4" t="s">
        <v>19</v>
      </c>
      <c r="C6" s="5" t="n">
        <v>46321</v>
      </c>
      <c r="D6" s="6" t="n">
        <f aca="false">INDEX('Alert Log'!$F$5:$F$15,MATCH(A6,'Alert Log'!$A$5:$A$15,0))</f>
        <v>46321.5891898148</v>
      </c>
      <c r="E6" s="4" t="s">
        <v>20</v>
      </c>
      <c r="F6" s="4" t="n">
        <f aca="false">COUNTIF('Alert Log'!$A$5:$A$15,A6)</f>
        <v>1</v>
      </c>
      <c r="G6" s="7" t="n">
        <f aca="false">SUMIF('Alert Log'!$A$5:$A$15,A6,'Alert Log'!$H$5:$H$15)</f>
        <v>0.00247685185185185</v>
      </c>
      <c r="H6" s="4" t="s">
        <v>21</v>
      </c>
      <c r="I6" s="4" t="s">
        <v>22</v>
      </c>
      <c r="J6" s="4" t="s">
        <v>23</v>
      </c>
    </row>
    <row r="7" customFormat="false" ht="23.85" hidden="false" customHeight="false" outlineLevel="0" collapsed="false">
      <c r="A7" s="4" t="s">
        <v>24</v>
      </c>
      <c r="B7" s="4" t="s">
        <v>25</v>
      </c>
      <c r="C7" s="5" t="n">
        <v>46321</v>
      </c>
      <c r="D7" s="6" t="n">
        <f aca="false">INDEX('Alert Log'!$F$5:$F$15,MATCH(A7,'Alert Log'!$A$5:$A$15,0))</f>
        <v>46321.6196875</v>
      </c>
      <c r="E7" s="4" t="s">
        <v>14</v>
      </c>
      <c r="F7" s="4" t="n">
        <f aca="false">COUNTIF('Alert Log'!$A$5:$A$15,A7)</f>
        <v>7</v>
      </c>
      <c r="G7" s="7" t="n">
        <f aca="false">SUMIF('Alert Log'!$A$5:$A$15,A7,'Alert Log'!$H$5:$H$15)</f>
        <v>0.00758101851851852</v>
      </c>
      <c r="H7" s="4" t="s">
        <v>26</v>
      </c>
      <c r="I7" s="4" t="s">
        <v>27</v>
      </c>
      <c r="J7" s="4" t="s">
        <v>28</v>
      </c>
    </row>
    <row r="8" customFormat="false" ht="23.85" hidden="false" customHeight="false" outlineLevel="0" collapsed="false">
      <c r="A8" s="4" t="s">
        <v>29</v>
      </c>
      <c r="B8" s="4" t="s">
        <v>30</v>
      </c>
      <c r="C8" s="5" t="n">
        <v>46321</v>
      </c>
      <c r="D8" s="6" t="n">
        <f aca="false">INDEX('Alert Log'!$F$5:$F$15,MATCH(A8,'Alert Log'!$A$5:$A$15,0))</f>
        <v>46321.654224537</v>
      </c>
      <c r="E8" s="4" t="s">
        <v>14</v>
      </c>
      <c r="F8" s="4" t="n">
        <f aca="false">COUNTIF('Alert Log'!$A$5:$A$15,A8)</f>
        <v>2</v>
      </c>
      <c r="G8" s="7" t="n">
        <f aca="false">SUMIF('Alert Log'!$A$5:$A$15,A8,'Alert Log'!$H$5:$H$15)</f>
        <v>0.0115856481481481</v>
      </c>
      <c r="H8" s="4" t="s">
        <v>31</v>
      </c>
      <c r="I8" s="4" t="s">
        <v>32</v>
      </c>
      <c r="J8" s="4" t="s">
        <v>33</v>
      </c>
    </row>
    <row r="9" customFormat="false" ht="15" hidden="false" customHeight="false" outlineLevel="0" collapsed="false">
      <c r="A9" s="8" t="s">
        <v>34</v>
      </c>
      <c r="B9" s="9"/>
      <c r="C9" s="9"/>
      <c r="D9" s="9"/>
      <c r="E9" s="9"/>
      <c r="F9" s="8" t="n">
        <f aca="false">SUM(F5:F8)</f>
        <v>11</v>
      </c>
      <c r="G9" s="10" t="n">
        <f aca="false">SUM(G5:G8)</f>
        <v>0.0230324074074074</v>
      </c>
      <c r="H9" s="9"/>
      <c r="I9" s="9"/>
      <c r="J9" s="9"/>
    </row>
    <row r="11" customFormat="false" ht="15" hidden="false" customHeight="false" outlineLevel="0" collapsed="false">
      <c r="A11" s="11" t="s">
        <v>35</v>
      </c>
    </row>
    <row r="12" customFormat="false" ht="15" hidden="false" customHeight="false" outlineLevel="0" collapsed="false">
      <c r="A12" s="12" t="s">
        <v>36</v>
      </c>
      <c r="B12" s="12"/>
      <c r="C12" s="12"/>
      <c r="D12" s="12"/>
      <c r="E12" s="12"/>
      <c r="F12" s="12"/>
      <c r="G12" s="12"/>
      <c r="H12" s="12"/>
      <c r="I12" s="12"/>
      <c r="J12" s="12"/>
    </row>
    <row r="13" customFormat="false" ht="15" hidden="false" customHeight="false" outlineLevel="0" collapsed="false">
      <c r="A13" s="12" t="s">
        <v>37</v>
      </c>
      <c r="B13" s="12"/>
      <c r="C13" s="12"/>
      <c r="D13" s="12"/>
      <c r="E13" s="12"/>
      <c r="F13" s="12"/>
      <c r="G13" s="12"/>
      <c r="H13" s="12"/>
      <c r="I13" s="12"/>
      <c r="J13" s="12"/>
    </row>
    <row r="14" customFormat="false" ht="15" hidden="false" customHeight="false" outlineLevel="0" collapsed="false">
      <c r="A14" s="12" t="s">
        <v>38</v>
      </c>
      <c r="B14" s="12"/>
      <c r="C14" s="12"/>
      <c r="D14" s="12"/>
      <c r="E14" s="12"/>
      <c r="F14" s="12"/>
      <c r="G14" s="12"/>
      <c r="H14" s="12"/>
      <c r="I14" s="12"/>
      <c r="J14" s="12"/>
    </row>
  </sheetData>
  <mergeCells count="3">
    <mergeCell ref="A12:J12"/>
    <mergeCell ref="A13:J13"/>
    <mergeCell ref="A14:J14"/>
  </mergeCells>
  <conditionalFormatting sqref="E5:E8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"Average"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8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43.5" hidden="false" customHeight="true" outlineLevel="0" collapsed="false">
      <c r="A4" s="3" t="s">
        <v>2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</row>
    <row r="5" customFormat="false" ht="23.85" hidden="false" customHeight="false" outlineLevel="0" collapsed="false">
      <c r="A5" s="4" t="s">
        <v>12</v>
      </c>
      <c r="B5" s="4" t="s">
        <v>52</v>
      </c>
      <c r="C5" s="4" t="s">
        <v>53</v>
      </c>
      <c r="D5" s="4" t="s">
        <v>54</v>
      </c>
      <c r="E5" s="4" t="s">
        <v>14</v>
      </c>
      <c r="F5" s="13" t="n">
        <v>46321.5743055556</v>
      </c>
      <c r="G5" s="13" t="n">
        <v>46321.5756944444</v>
      </c>
      <c r="H5" s="7" t="n">
        <f aca="false">IF(OR(F5="",G5=""),"",G5-F5)</f>
        <v>0.00138888888888889</v>
      </c>
      <c r="I5" s="13"/>
      <c r="J5" s="7" t="str">
        <f aca="false">IF(OR(F5="",I5=""),"",F5-I5)</f>
        <v/>
      </c>
      <c r="K5" s="4" t="s">
        <v>55</v>
      </c>
      <c r="L5" s="4" t="s">
        <v>56</v>
      </c>
    </row>
    <row r="6" customFormat="false" ht="35.05" hidden="false" customHeight="false" outlineLevel="0" collapsed="false">
      <c r="A6" s="4" t="s">
        <v>18</v>
      </c>
      <c r="B6" s="4" t="s">
        <v>57</v>
      </c>
      <c r="C6" s="4" t="s">
        <v>58</v>
      </c>
      <c r="D6" s="4" t="s">
        <v>59</v>
      </c>
      <c r="E6" s="4" t="s">
        <v>20</v>
      </c>
      <c r="F6" s="13" t="n">
        <v>46321.5891898148</v>
      </c>
      <c r="G6" s="13" t="n">
        <v>46321.5916666667</v>
      </c>
      <c r="H6" s="7" t="n">
        <f aca="false">IF(OR(F6="",G6=""),"",G6-F6)</f>
        <v>0.00247685185185185</v>
      </c>
      <c r="I6" s="13"/>
      <c r="J6" s="7" t="str">
        <f aca="false">IF(OR(F6="",I6=""),"",F6-I6)</f>
        <v/>
      </c>
      <c r="K6" s="4" t="s">
        <v>60</v>
      </c>
      <c r="L6" s="4" t="s">
        <v>61</v>
      </c>
    </row>
    <row r="7" customFormat="false" ht="15" hidden="false" customHeight="false" outlineLevel="0" collapsed="false">
      <c r="A7" s="4" t="s">
        <v>24</v>
      </c>
      <c r="B7" s="4" t="s">
        <v>62</v>
      </c>
      <c r="C7" s="4" t="s">
        <v>53</v>
      </c>
      <c r="D7" s="4" t="s">
        <v>54</v>
      </c>
      <c r="E7" s="4" t="s">
        <v>14</v>
      </c>
      <c r="F7" s="13" t="n">
        <v>46321.6196875</v>
      </c>
      <c r="G7" s="13" t="n">
        <v>46321.6208680556</v>
      </c>
      <c r="H7" s="7" t="n">
        <f aca="false">IF(OR(F7="",G7=""),"",G7-F7)</f>
        <v>0.00118055555555556</v>
      </c>
      <c r="I7" s="13"/>
      <c r="J7" s="7" t="str">
        <f aca="false">IF(OR(F7="",I7=""),"",F7-I7)</f>
        <v/>
      </c>
      <c r="K7" s="4" t="s">
        <v>63</v>
      </c>
      <c r="L7" s="4" t="s">
        <v>64</v>
      </c>
    </row>
    <row r="8" customFormat="false" ht="15" hidden="false" customHeight="false" outlineLevel="0" collapsed="false">
      <c r="A8" s="4" t="s">
        <v>24</v>
      </c>
      <c r="B8" s="4" t="s">
        <v>62</v>
      </c>
      <c r="C8" s="4" t="s">
        <v>53</v>
      </c>
      <c r="D8" s="4" t="s">
        <v>54</v>
      </c>
      <c r="E8" s="4" t="s">
        <v>14</v>
      </c>
      <c r="F8" s="13" t="n">
        <v>46321.6215972222</v>
      </c>
      <c r="G8" s="13" t="n">
        <v>46321.6229282407</v>
      </c>
      <c r="H8" s="7" t="n">
        <f aca="false">IF(OR(F8="",G8=""),"",G8-F8)</f>
        <v>0.00133101851851852</v>
      </c>
      <c r="I8" s="13"/>
      <c r="J8" s="7" t="str">
        <f aca="false">IF(OR(F8="",I8=""),"",F8-I8)</f>
        <v/>
      </c>
      <c r="K8" s="4" t="s">
        <v>63</v>
      </c>
      <c r="L8" s="4" t="s">
        <v>65</v>
      </c>
    </row>
    <row r="9" customFormat="false" ht="15" hidden="false" customHeight="false" outlineLevel="0" collapsed="false">
      <c r="A9" s="4" t="s">
        <v>24</v>
      </c>
      <c r="B9" s="4" t="s">
        <v>62</v>
      </c>
      <c r="C9" s="4" t="s">
        <v>53</v>
      </c>
      <c r="D9" s="4" t="s">
        <v>54</v>
      </c>
      <c r="E9" s="4" t="s">
        <v>14</v>
      </c>
      <c r="F9" s="13" t="n">
        <v>46321.6233333333</v>
      </c>
      <c r="G9" s="13" t="n">
        <v>46321.6244907407</v>
      </c>
      <c r="H9" s="7" t="n">
        <f aca="false">IF(OR(F9="",G9=""),"",G9-F9)</f>
        <v>0.00115740740740741</v>
      </c>
      <c r="I9" s="13"/>
      <c r="J9" s="7" t="str">
        <f aca="false">IF(OR(F9="",I9=""),"",F9-I9)</f>
        <v/>
      </c>
      <c r="K9" s="4" t="s">
        <v>63</v>
      </c>
      <c r="L9" s="4" t="s">
        <v>66</v>
      </c>
    </row>
    <row r="10" customFormat="false" ht="23.85" hidden="false" customHeight="false" outlineLevel="0" collapsed="false">
      <c r="A10" s="4" t="s">
        <v>24</v>
      </c>
      <c r="B10" s="4" t="s">
        <v>67</v>
      </c>
      <c r="C10" s="4" t="s">
        <v>53</v>
      </c>
      <c r="D10" s="4" t="s">
        <v>54</v>
      </c>
      <c r="E10" s="4" t="s">
        <v>14</v>
      </c>
      <c r="F10" s="13" t="n">
        <v>46321.6358333333</v>
      </c>
      <c r="G10" s="13" t="n">
        <v>46321.6384027778</v>
      </c>
      <c r="H10" s="7" t="n">
        <f aca="false">IF(OR(F10="",G10=""),"",G10-F10)</f>
        <v>0.00256944444444444</v>
      </c>
      <c r="I10" s="13"/>
      <c r="J10" s="7" t="str">
        <f aca="false">IF(OR(F10="",I10=""),"",F10-I10)</f>
        <v/>
      </c>
      <c r="K10" s="4" t="s">
        <v>63</v>
      </c>
      <c r="L10" s="4" t="s">
        <v>68</v>
      </c>
    </row>
    <row r="11" customFormat="false" ht="23.85" hidden="false" customHeight="false" outlineLevel="0" collapsed="false">
      <c r="A11" s="4" t="s">
        <v>24</v>
      </c>
      <c r="B11" s="4" t="s">
        <v>67</v>
      </c>
      <c r="C11" s="4" t="s">
        <v>53</v>
      </c>
      <c r="D11" s="4" t="s">
        <v>54</v>
      </c>
      <c r="E11" s="4" t="s">
        <v>14</v>
      </c>
      <c r="F11" s="13" t="n">
        <v>46321.6387847222</v>
      </c>
      <c r="G11" s="13" t="n">
        <v>46321.6390972222</v>
      </c>
      <c r="H11" s="7" t="n">
        <f aca="false">IF(OR(F11="",G11=""),"",G11-F11)</f>
        <v>0.0003125</v>
      </c>
      <c r="I11" s="13"/>
      <c r="J11" s="7" t="str">
        <f aca="false">IF(OR(F11="",I11=""),"",F11-I11)</f>
        <v/>
      </c>
      <c r="K11" s="4" t="s">
        <v>63</v>
      </c>
      <c r="L11" s="4" t="s">
        <v>69</v>
      </c>
    </row>
    <row r="12" customFormat="false" ht="15" hidden="false" customHeight="false" outlineLevel="0" collapsed="false">
      <c r="A12" s="4" t="s">
        <v>24</v>
      </c>
      <c r="B12" s="4" t="s">
        <v>67</v>
      </c>
      <c r="C12" s="4" t="s">
        <v>53</v>
      </c>
      <c r="D12" s="4" t="s">
        <v>54</v>
      </c>
      <c r="E12" s="4" t="s">
        <v>14</v>
      </c>
      <c r="F12" s="13" t="n">
        <v>46321.6394675926</v>
      </c>
      <c r="G12" s="13" t="n">
        <v>46321.6398032407</v>
      </c>
      <c r="H12" s="7" t="n">
        <f aca="false">IF(OR(F12="",G12=""),"",G12-F12)</f>
        <v>0.000335648148148148</v>
      </c>
      <c r="I12" s="13"/>
      <c r="J12" s="7" t="str">
        <f aca="false">IF(OR(F12="",I12=""),"",F12-I12)</f>
        <v/>
      </c>
      <c r="K12" s="4" t="s">
        <v>63</v>
      </c>
      <c r="L12" s="4" t="s">
        <v>70</v>
      </c>
    </row>
    <row r="13" customFormat="false" ht="23.85" hidden="false" customHeight="false" outlineLevel="0" collapsed="false">
      <c r="A13" s="4" t="s">
        <v>24</v>
      </c>
      <c r="B13" s="4" t="s">
        <v>71</v>
      </c>
      <c r="C13" s="4" t="s">
        <v>53</v>
      </c>
      <c r="D13" s="4" t="s">
        <v>54</v>
      </c>
      <c r="E13" s="4" t="s">
        <v>14</v>
      </c>
      <c r="F13" s="13" t="n">
        <v>46321.6479166667</v>
      </c>
      <c r="G13" s="13" t="n">
        <v>46321.6486111111</v>
      </c>
      <c r="H13" s="7" t="n">
        <f aca="false">IF(OR(F13="",G13=""),"",G13-F13)</f>
        <v>0.000694444444444445</v>
      </c>
      <c r="I13" s="13"/>
      <c r="J13" s="7" t="str">
        <f aca="false">IF(OR(F13="",I13=""),"",F13-I13)</f>
        <v/>
      </c>
      <c r="K13" s="4" t="s">
        <v>55</v>
      </c>
      <c r="L13" s="4" t="s">
        <v>72</v>
      </c>
    </row>
    <row r="14" customFormat="false" ht="15" hidden="false" customHeight="false" outlineLevel="0" collapsed="false">
      <c r="A14" s="4" t="s">
        <v>29</v>
      </c>
      <c r="B14" s="4" t="s">
        <v>71</v>
      </c>
      <c r="C14" s="4" t="s">
        <v>53</v>
      </c>
      <c r="D14" s="4" t="s">
        <v>54</v>
      </c>
      <c r="E14" s="4" t="s">
        <v>14</v>
      </c>
      <c r="F14" s="13" t="n">
        <v>46321.654224537</v>
      </c>
      <c r="G14" s="13" t="n">
        <v>46321.6602546296</v>
      </c>
      <c r="H14" s="7" t="n">
        <f aca="false">IF(OR(F14="",G14=""),"",G14-F14)</f>
        <v>0.00603009259259259</v>
      </c>
      <c r="I14" s="13" t="n">
        <v>46321.6534722222</v>
      </c>
      <c r="J14" s="7" t="n">
        <f aca="false">IF(OR(F14="",I14=""),"",F14-I14)</f>
        <v>0.000752314814814815</v>
      </c>
      <c r="K14" s="4" t="s">
        <v>63</v>
      </c>
      <c r="L14" s="4" t="s">
        <v>73</v>
      </c>
    </row>
    <row r="15" customFormat="false" ht="15" hidden="false" customHeight="false" outlineLevel="0" collapsed="false">
      <c r="A15" s="4" t="s">
        <v>29</v>
      </c>
      <c r="B15" s="4" t="s">
        <v>57</v>
      </c>
      <c r="C15" s="4" t="s">
        <v>58</v>
      </c>
      <c r="D15" s="4" t="s">
        <v>59</v>
      </c>
      <c r="E15" s="4" t="s">
        <v>20</v>
      </c>
      <c r="F15" s="13" t="n">
        <v>46321.6558564815</v>
      </c>
      <c r="G15" s="13" t="n">
        <v>46321.661412037</v>
      </c>
      <c r="H15" s="7" t="n">
        <f aca="false">IF(OR(F15="",G15=""),"",G15-F15)</f>
        <v>0.00555555555555556</v>
      </c>
      <c r="I15" s="13" t="n">
        <v>46321.6534722222</v>
      </c>
      <c r="J15" s="7" t="n">
        <f aca="false">IF(OR(F15="",I15=""),"",F15-I15)</f>
        <v>0.00238425925925926</v>
      </c>
      <c r="K15" s="4" t="s">
        <v>63</v>
      </c>
      <c r="L15" s="4" t="s">
        <v>74</v>
      </c>
    </row>
    <row r="17" customFormat="false" ht="15" hidden="false" customHeight="false" outlineLevel="0" collapsed="false">
      <c r="A17" s="11" t="s">
        <v>51</v>
      </c>
    </row>
    <row r="18" customFormat="false" ht="15" hidden="false" customHeight="true" outlineLevel="0" collapsed="false">
      <c r="A18" s="14" t="s">
        <v>75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customFormat="false" ht="15" hidden="false" customHeight="true" outlineLevel="0" collapsed="false">
      <c r="A19" s="14" t="s">
        <v>76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</sheetData>
  <mergeCells count="2">
    <mergeCell ref="A18:L18"/>
    <mergeCell ref="A19:L19"/>
  </mergeCells>
  <conditionalFormatting sqref="E5:E15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"Average"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44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3" t="s">
        <v>79</v>
      </c>
      <c r="B4" s="3" t="s">
        <v>12</v>
      </c>
      <c r="C4" s="3" t="s">
        <v>18</v>
      </c>
      <c r="D4" s="3" t="s">
        <v>24</v>
      </c>
      <c r="E4" s="3" t="s">
        <v>29</v>
      </c>
    </row>
    <row r="5" customFormat="false" ht="15" hidden="false" customHeight="false" outlineLevel="0" collapsed="false">
      <c r="A5" s="15" t="s">
        <v>3</v>
      </c>
      <c r="B5" s="4" t="s">
        <v>13</v>
      </c>
      <c r="C5" s="4" t="s">
        <v>19</v>
      </c>
      <c r="D5" s="4" t="s">
        <v>25</v>
      </c>
      <c r="E5" s="4" t="s">
        <v>30</v>
      </c>
    </row>
    <row r="6" customFormat="false" ht="23.85" hidden="false" customHeight="false" outlineLevel="0" collapsed="false">
      <c r="A6" s="15" t="s">
        <v>80</v>
      </c>
      <c r="B6" s="4" t="s">
        <v>53</v>
      </c>
      <c r="C6" s="4" t="s">
        <v>81</v>
      </c>
      <c r="D6" s="4" t="s">
        <v>82</v>
      </c>
      <c r="E6" s="4" t="s">
        <v>83</v>
      </c>
    </row>
    <row r="7" customFormat="false" ht="23.85" hidden="false" customHeight="false" outlineLevel="0" collapsed="false">
      <c r="A7" s="15" t="s">
        <v>84</v>
      </c>
      <c r="B7" s="4" t="s">
        <v>85</v>
      </c>
      <c r="C7" s="4" t="s">
        <v>86</v>
      </c>
      <c r="D7" s="4" t="s">
        <v>87</v>
      </c>
      <c r="E7" s="4" t="s">
        <v>88</v>
      </c>
    </row>
    <row r="8" customFormat="false" ht="35.05" hidden="false" customHeight="false" outlineLevel="0" collapsed="false">
      <c r="A8" s="15" t="s">
        <v>89</v>
      </c>
      <c r="B8" s="4" t="s">
        <v>90</v>
      </c>
      <c r="C8" s="4" t="s">
        <v>91</v>
      </c>
      <c r="D8" s="4" t="s">
        <v>92</v>
      </c>
      <c r="E8" s="4" t="s">
        <v>93</v>
      </c>
    </row>
    <row r="9" customFormat="false" ht="23.85" hidden="false" customHeight="false" outlineLevel="0" collapsed="false">
      <c r="A9" s="15" t="s">
        <v>94</v>
      </c>
      <c r="B9" s="4" t="s">
        <v>95</v>
      </c>
      <c r="C9" s="4" t="s">
        <v>96</v>
      </c>
      <c r="D9" s="4" t="s">
        <v>95</v>
      </c>
      <c r="E9" s="4" t="s">
        <v>97</v>
      </c>
    </row>
    <row r="10" customFormat="false" ht="46.25" hidden="false" customHeight="false" outlineLevel="0" collapsed="false">
      <c r="A10" s="15" t="s">
        <v>98</v>
      </c>
      <c r="B10" s="4" t="s">
        <v>99</v>
      </c>
      <c r="C10" s="4" t="s">
        <v>100</v>
      </c>
      <c r="D10" s="4" t="s">
        <v>101</v>
      </c>
      <c r="E10" s="4" t="s">
        <v>102</v>
      </c>
    </row>
    <row r="11" customFormat="false" ht="46.25" hidden="false" customHeight="false" outlineLevel="0" collapsed="false">
      <c r="A11" s="15" t="s">
        <v>103</v>
      </c>
      <c r="B11" s="4" t="s">
        <v>104</v>
      </c>
      <c r="C11" s="4" t="s">
        <v>105</v>
      </c>
      <c r="D11" s="4" t="s">
        <v>106</v>
      </c>
      <c r="E11" s="4" t="s">
        <v>107</v>
      </c>
    </row>
    <row r="12" customFormat="false" ht="46.25" hidden="false" customHeight="false" outlineLevel="0" collapsed="false">
      <c r="A12" s="15" t="s">
        <v>108</v>
      </c>
      <c r="B12" s="4" t="s">
        <v>109</v>
      </c>
      <c r="C12" s="4" t="s">
        <v>110</v>
      </c>
      <c r="D12" s="4" t="s">
        <v>111</v>
      </c>
      <c r="E12" s="4" t="s">
        <v>112</v>
      </c>
    </row>
    <row r="13" customFormat="false" ht="35.05" hidden="false" customHeight="false" outlineLevel="0" collapsed="false">
      <c r="A13" s="15" t="s">
        <v>113</v>
      </c>
      <c r="B13" s="4" t="s">
        <v>114</v>
      </c>
      <c r="C13" s="4" t="s">
        <v>115</v>
      </c>
      <c r="D13" s="4" t="s">
        <v>116</v>
      </c>
      <c r="E13" s="4" t="s">
        <v>117</v>
      </c>
    </row>
    <row r="14" customFormat="false" ht="57.45" hidden="false" customHeight="false" outlineLevel="0" collapsed="false">
      <c r="A14" s="15" t="s">
        <v>118</v>
      </c>
      <c r="B14" s="4" t="s">
        <v>119</v>
      </c>
      <c r="C14" s="4" t="s">
        <v>120</v>
      </c>
      <c r="D14" s="4" t="s">
        <v>121</v>
      </c>
      <c r="E14" s="4" t="s">
        <v>122</v>
      </c>
    </row>
    <row r="15" customFormat="false" ht="35.05" hidden="false" customHeight="false" outlineLevel="0" collapsed="false">
      <c r="A15" s="15" t="s">
        <v>123</v>
      </c>
      <c r="B15" s="4" t="s">
        <v>124</v>
      </c>
      <c r="C15" s="4" t="s">
        <v>124</v>
      </c>
      <c r="D15" s="4" t="s">
        <v>124</v>
      </c>
      <c r="E15" s="4" t="s">
        <v>125</v>
      </c>
    </row>
    <row r="16" customFormat="false" ht="46.25" hidden="false" customHeight="false" outlineLevel="0" collapsed="false">
      <c r="A16" s="15" t="s">
        <v>126</v>
      </c>
      <c r="B16" s="4" t="s">
        <v>17</v>
      </c>
      <c r="C16" s="4" t="s">
        <v>127</v>
      </c>
      <c r="D16" s="4" t="s">
        <v>128</v>
      </c>
      <c r="E16" s="4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8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130</v>
      </c>
    </row>
    <row r="3" customFormat="false" ht="15" hidden="false" customHeight="false" outlineLevel="0" collapsed="false">
      <c r="A3" s="3" t="s">
        <v>131</v>
      </c>
      <c r="B3" s="3" t="s">
        <v>132</v>
      </c>
      <c r="C3" s="3" t="s">
        <v>133</v>
      </c>
      <c r="D3" s="3" t="s">
        <v>134</v>
      </c>
      <c r="E3" s="3" t="s">
        <v>135</v>
      </c>
    </row>
    <row r="4" customFormat="false" ht="23.85" hidden="false" customHeight="false" outlineLevel="0" collapsed="false">
      <c r="A4" s="15" t="s">
        <v>136</v>
      </c>
      <c r="B4" s="4" t="s">
        <v>137</v>
      </c>
      <c r="C4" s="4" t="s">
        <v>138</v>
      </c>
      <c r="D4" s="4" t="s">
        <v>139</v>
      </c>
      <c r="E4" s="4" t="s">
        <v>140</v>
      </c>
    </row>
    <row r="5" customFormat="false" ht="35.05" hidden="false" customHeight="false" outlineLevel="0" collapsed="false">
      <c r="A5" s="15" t="s">
        <v>141</v>
      </c>
      <c r="B5" s="4" t="s">
        <v>142</v>
      </c>
      <c r="C5" s="4" t="s">
        <v>143</v>
      </c>
      <c r="D5" s="4" t="s">
        <v>144</v>
      </c>
      <c r="E5" s="4" t="s">
        <v>145</v>
      </c>
    </row>
    <row r="6" customFormat="false" ht="35.05" hidden="false" customHeight="false" outlineLevel="0" collapsed="false">
      <c r="A6" s="15" t="s">
        <v>146</v>
      </c>
      <c r="B6" s="4" t="s">
        <v>147</v>
      </c>
      <c r="C6" s="4" t="s">
        <v>148</v>
      </c>
      <c r="D6" s="4" t="s">
        <v>149</v>
      </c>
      <c r="E6" s="4" t="s">
        <v>150</v>
      </c>
    </row>
    <row r="8" customFormat="false" ht="30" hidden="false" customHeight="true" outlineLevel="0" collapsed="false">
      <c r="A8" s="14" t="s">
        <v>151</v>
      </c>
      <c r="B8" s="14"/>
      <c r="C8" s="14"/>
      <c r="D8" s="14"/>
      <c r="E8" s="14"/>
    </row>
  </sheetData>
  <mergeCells count="1"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152</v>
      </c>
    </row>
    <row r="3" customFormat="false" ht="15" hidden="false" customHeight="false" outlineLevel="0" collapsed="false">
      <c r="A3" s="3" t="s">
        <v>153</v>
      </c>
      <c r="B3" s="3" t="s">
        <v>154</v>
      </c>
    </row>
    <row r="4" customFormat="false" ht="15" hidden="false" customHeight="false" outlineLevel="0" collapsed="false">
      <c r="A4" s="15" t="s">
        <v>155</v>
      </c>
      <c r="B4" s="4" t="s">
        <v>156</v>
      </c>
    </row>
    <row r="5" customFormat="false" ht="15" hidden="false" customHeight="false" outlineLevel="0" collapsed="false">
      <c r="A5" s="15" t="s">
        <v>157</v>
      </c>
      <c r="B5" s="4" t="s">
        <v>158</v>
      </c>
    </row>
    <row r="6" customFormat="false" ht="23.85" hidden="false" customHeight="false" outlineLevel="0" collapsed="false">
      <c r="A6" s="15" t="s">
        <v>159</v>
      </c>
      <c r="B6" s="4" t="s">
        <v>160</v>
      </c>
    </row>
    <row r="7" customFormat="false" ht="15" hidden="false" customHeight="false" outlineLevel="0" collapsed="false">
      <c r="A7" s="15" t="s">
        <v>161</v>
      </c>
      <c r="B7" s="4" t="s">
        <v>162</v>
      </c>
    </row>
    <row r="8" customFormat="false" ht="15" hidden="false" customHeight="false" outlineLevel="0" collapsed="false">
      <c r="A8" s="15" t="s">
        <v>51</v>
      </c>
      <c r="B8" s="4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2026-10-26T20:01:01Z</dcterms:created>
  <dc:creator>openpyxl</dc:creator>
  <dc:description/>
  <dc:language>en-US</dc:language>
  <cp:lastModifiedBy/>
  <dcterms:modified xsi:type="dcterms:W3CDTF">2026-10-26T20:01:01Z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